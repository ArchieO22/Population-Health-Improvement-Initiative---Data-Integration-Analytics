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rmacy_Claims" sheetId="1" r:id="rId5"/>
  </sheets>
  <definedNames>
    <definedName hidden="1" localSheetId="0" name="_xlnm._FilterDatabase">Pharmacy_Claims!$I$1:$I$1000</definedName>
  </definedNames>
  <calcPr/>
</workbook>
</file>

<file path=xl/sharedStrings.xml><?xml version="1.0" encoding="utf-8"?>
<sst xmlns="http://schemas.openxmlformats.org/spreadsheetml/2006/main" count="614" uniqueCount="187">
  <si>
    <t>ClaimID</t>
  </si>
  <si>
    <t>PatientID</t>
  </si>
  <si>
    <t>Medication</t>
  </si>
  <si>
    <t>Dosage</t>
  </si>
  <si>
    <t>FillDate</t>
  </si>
  <si>
    <t>Payer</t>
  </si>
  <si>
    <t>ClinicID</t>
  </si>
  <si>
    <t>ChargeAmount</t>
  </si>
  <si>
    <t>PaidAmount</t>
  </si>
  <si>
    <t>Total Amount Paid</t>
  </si>
  <si>
    <t>RX9000</t>
  </si>
  <si>
    <t>NV094</t>
  </si>
  <si>
    <t>Amlodipine</t>
  </si>
  <si>
    <t>20mg</t>
  </si>
  <si>
    <t>Medicare</t>
  </si>
  <si>
    <t>C01</t>
  </si>
  <si>
    <t>RX9001</t>
  </si>
  <si>
    <t>NV027</t>
  </si>
  <si>
    <t>5mg</t>
  </si>
  <si>
    <t>Medicaid</t>
  </si>
  <si>
    <t>C02</t>
  </si>
  <si>
    <t>RX9002</t>
  </si>
  <si>
    <t>NV005</t>
  </si>
  <si>
    <t>10mg</t>
  </si>
  <si>
    <t>C05</t>
  </si>
  <si>
    <t>RX9003</t>
  </si>
  <si>
    <t>NV031</t>
  </si>
  <si>
    <t>500mg</t>
  </si>
  <si>
    <t>Private</t>
  </si>
  <si>
    <t>RX9004</t>
  </si>
  <si>
    <t>NV008</t>
  </si>
  <si>
    <t>Lisinopril</t>
  </si>
  <si>
    <t>?</t>
  </si>
  <si>
    <t>RX9005</t>
  </si>
  <si>
    <t>C03</t>
  </si>
  <si>
    <t>RX9006</t>
  </si>
  <si>
    <t>RX9007</t>
  </si>
  <si>
    <t>NV046</t>
  </si>
  <si>
    <t>RX9008</t>
  </si>
  <si>
    <t>NV089</t>
  </si>
  <si>
    <t>RX9009</t>
  </si>
  <si>
    <t>NV072</t>
  </si>
  <si>
    <t>C04</t>
  </si>
  <si>
    <t>RX9010</t>
  </si>
  <si>
    <t>NV017</t>
  </si>
  <si>
    <t>RX9011</t>
  </si>
  <si>
    <t>NV012</t>
  </si>
  <si>
    <t>Metformin</t>
  </si>
  <si>
    <t>RX9012</t>
  </si>
  <si>
    <t>RX9013</t>
  </si>
  <si>
    <t>Atorvastatin</t>
  </si>
  <si>
    <t>RX9014</t>
  </si>
  <si>
    <t>RX9015</t>
  </si>
  <si>
    <t>NV010</t>
  </si>
  <si>
    <t>RX9016</t>
  </si>
  <si>
    <t>NV076</t>
  </si>
  <si>
    <t>RX9017</t>
  </si>
  <si>
    <t>NV043</t>
  </si>
  <si>
    <t>RX9018</t>
  </si>
  <si>
    <t>NV036</t>
  </si>
  <si>
    <t>RX9019</t>
  </si>
  <si>
    <t>NV063</t>
  </si>
  <si>
    <t>RX9020</t>
  </si>
  <si>
    <t>NV080</t>
  </si>
  <si>
    <t>RX9021</t>
  </si>
  <si>
    <t>NV048</t>
  </si>
  <si>
    <t>RX9022</t>
  </si>
  <si>
    <t>NV039</t>
  </si>
  <si>
    <t>RX9023</t>
  </si>
  <si>
    <t>NV061</t>
  </si>
  <si>
    <t>RX9024</t>
  </si>
  <si>
    <t>NV001</t>
  </si>
  <si>
    <t>RX9025</t>
  </si>
  <si>
    <t>RX9026</t>
  </si>
  <si>
    <t>NV071</t>
  </si>
  <si>
    <t>RX9027</t>
  </si>
  <si>
    <t>NV098</t>
  </si>
  <si>
    <t>RX9028</t>
  </si>
  <si>
    <t>NV058</t>
  </si>
  <si>
    <t>RX9029</t>
  </si>
  <si>
    <t>NV077</t>
  </si>
  <si>
    <t>RX9030</t>
  </si>
  <si>
    <t>NV084</t>
  </si>
  <si>
    <t>RX9031</t>
  </si>
  <si>
    <t>NV025</t>
  </si>
  <si>
    <t>RX9032</t>
  </si>
  <si>
    <t>RX9033</t>
  </si>
  <si>
    <t>NV099</t>
  </si>
  <si>
    <t>RX9034</t>
  </si>
  <si>
    <t>NV085</t>
  </si>
  <si>
    <t>RX9035</t>
  </si>
  <si>
    <t>RX9036</t>
  </si>
  <si>
    <t>NV091</t>
  </si>
  <si>
    <t>RX9037</t>
  </si>
  <si>
    <t>NV009</t>
  </si>
  <si>
    <t>RX9038</t>
  </si>
  <si>
    <t>NV054</t>
  </si>
  <si>
    <t>RX9039</t>
  </si>
  <si>
    <t>RX9040</t>
  </si>
  <si>
    <t>NV023</t>
  </si>
  <si>
    <t>RX9041</t>
  </si>
  <si>
    <t>NV090</t>
  </si>
  <si>
    <t>RX9042</t>
  </si>
  <si>
    <t>NV021</t>
  </si>
  <si>
    <t>RX9043</t>
  </si>
  <si>
    <t>NV024</t>
  </si>
  <si>
    <t>RX9044</t>
  </si>
  <si>
    <t>NV081</t>
  </si>
  <si>
    <t>RX9045</t>
  </si>
  <si>
    <t>NV053</t>
  </si>
  <si>
    <t>RX9046</t>
  </si>
  <si>
    <t>NV047</t>
  </si>
  <si>
    <t>RX9047</t>
  </si>
  <si>
    <t>NV052</t>
  </si>
  <si>
    <t>RX9048</t>
  </si>
  <si>
    <t>RX9049</t>
  </si>
  <si>
    <t>RX9050</t>
  </si>
  <si>
    <t>RX9051</t>
  </si>
  <si>
    <t>NV086</t>
  </si>
  <si>
    <t>RX9052</t>
  </si>
  <si>
    <t>RX9053</t>
  </si>
  <si>
    <t>NV073</t>
  </si>
  <si>
    <t>RX9054</t>
  </si>
  <si>
    <t>NV075</t>
  </si>
  <si>
    <t>RX9055</t>
  </si>
  <si>
    <t>NV038</t>
  </si>
  <si>
    <t>RX9056</t>
  </si>
  <si>
    <t>NV049</t>
  </si>
  <si>
    <t>RX9057</t>
  </si>
  <si>
    <t>RX9058</t>
  </si>
  <si>
    <t>RX9059</t>
  </si>
  <si>
    <t>RX9060</t>
  </si>
  <si>
    <t>RX9061</t>
  </si>
  <si>
    <t>NV015</t>
  </si>
  <si>
    <t>RX9062</t>
  </si>
  <si>
    <t>NV007</t>
  </si>
  <si>
    <t>RX9063</t>
  </si>
  <si>
    <t>NV014</t>
  </si>
  <si>
    <t>RX9064</t>
  </si>
  <si>
    <t>NV096</t>
  </si>
  <si>
    <t>RX9065</t>
  </si>
  <si>
    <t>RX9066</t>
  </si>
  <si>
    <t>RX9067</t>
  </si>
  <si>
    <t>RX9068</t>
  </si>
  <si>
    <t>RX9069</t>
  </si>
  <si>
    <t>NV093</t>
  </si>
  <si>
    <t>RX9070</t>
  </si>
  <si>
    <t>NV019</t>
  </si>
  <si>
    <t>RX9071</t>
  </si>
  <si>
    <t>NV062</t>
  </si>
  <si>
    <t>RX9072</t>
  </si>
  <si>
    <t>RX9073</t>
  </si>
  <si>
    <t>RX9074</t>
  </si>
  <si>
    <t>NV006</t>
  </si>
  <si>
    <t>RX9075</t>
  </si>
  <si>
    <t>RX9076</t>
  </si>
  <si>
    <t>NV035</t>
  </si>
  <si>
    <t>RX9077</t>
  </si>
  <si>
    <t>NV013</t>
  </si>
  <si>
    <t>RX9078</t>
  </si>
  <si>
    <t>RX9079</t>
  </si>
  <si>
    <t>NV029</t>
  </si>
  <si>
    <t>RX9080</t>
  </si>
  <si>
    <t>NV079</t>
  </si>
  <si>
    <t>RX9081</t>
  </si>
  <si>
    <t>NV088</t>
  </si>
  <si>
    <t>RX9082</t>
  </si>
  <si>
    <t>RX9083</t>
  </si>
  <si>
    <t>RX9084</t>
  </si>
  <si>
    <t>RX9085</t>
  </si>
  <si>
    <t>RX9086</t>
  </si>
  <si>
    <t>RX9087</t>
  </si>
  <si>
    <t>NV059</t>
  </si>
  <si>
    <t>RX9088</t>
  </si>
  <si>
    <t>RX9089</t>
  </si>
  <si>
    <t>RX9090</t>
  </si>
  <si>
    <t>RX9091</t>
  </si>
  <si>
    <t>RX9092</t>
  </si>
  <si>
    <t>RX9093</t>
  </si>
  <si>
    <t>RX9094</t>
  </si>
  <si>
    <t>RX9095</t>
  </si>
  <si>
    <t>NV065</t>
  </si>
  <si>
    <t>RX9096</t>
  </si>
  <si>
    <t>RX9097</t>
  </si>
  <si>
    <t>RX9098</t>
  </si>
  <si>
    <t>RX9099</t>
  </si>
  <si>
    <t>NV004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</si>
</sst>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5</v>
      </c>
      <c r="L1" s="1" t="s">
        <v>9</v>
      </c>
    </row>
    <row r="2" hidden="1">
      <c r="A2" s="1" t="s">
        <v>10</v>
      </c>
      <c r="B2" s="1" t="s">
        <v>11</v>
      </c>
      <c r="C2" s="1" t="s">
        <v>12</v>
      </c>
      <c r="D2" s="1" t="s">
        <v>13</v>
      </c>
      <c r="E2" s="2">
        <v>45388.0</v>
      </c>
      <c r="F2" s="1" t="s">
        <v>14</v>
      </c>
      <c r="G2" s="1" t="s">
        <v>15</v>
      </c>
      <c r="H2" s="1">
        <v>159.2</v>
      </c>
      <c r="I2" s="1">
        <v>97.52</v>
      </c>
      <c r="J2" s="1"/>
    </row>
    <row r="3">
      <c r="A3" s="1" t="s">
        <v>16</v>
      </c>
      <c r="B3" s="1" t="s">
        <v>17</v>
      </c>
      <c r="C3" s="1" t="s">
        <v>12</v>
      </c>
      <c r="D3" s="1" t="s">
        <v>18</v>
      </c>
      <c r="E3" s="2">
        <v>45404.0</v>
      </c>
      <c r="F3" s="1" t="s">
        <v>19</v>
      </c>
      <c r="G3" s="1" t="s">
        <v>20</v>
      </c>
      <c r="H3" s="1">
        <v>381.03</v>
      </c>
      <c r="I3" s="1">
        <v>380.08</v>
      </c>
      <c r="J3" s="1"/>
      <c r="K3" s="1" t="s">
        <v>19</v>
      </c>
      <c r="L3" s="3">
        <f>SUMIF(F:F,"Medicaid",I:I)</f>
        <v>6288.27</v>
      </c>
    </row>
    <row r="4" hidden="1">
      <c r="A4" s="1" t="s">
        <v>21</v>
      </c>
      <c r="B4" s="1" t="s">
        <v>22</v>
      </c>
      <c r="C4" s="1" t="s">
        <v>12</v>
      </c>
      <c r="D4" s="1" t="s">
        <v>23</v>
      </c>
      <c r="E4" s="2">
        <v>45313.0</v>
      </c>
      <c r="F4" s="1" t="s">
        <v>19</v>
      </c>
      <c r="G4" s="1" t="s">
        <v>24</v>
      </c>
      <c r="H4" s="1">
        <v>296.82</v>
      </c>
      <c r="I4" s="1">
        <v>215.41</v>
      </c>
      <c r="J4" s="1"/>
    </row>
    <row r="5" hidden="1">
      <c r="A5" s="1" t="s">
        <v>25</v>
      </c>
      <c r="B5" s="1" t="s">
        <v>26</v>
      </c>
      <c r="C5" s="1" t="s">
        <v>12</v>
      </c>
      <c r="D5" s="1" t="s">
        <v>27</v>
      </c>
      <c r="E5" s="2">
        <v>45524.0</v>
      </c>
      <c r="F5" s="1" t="s">
        <v>28</v>
      </c>
      <c r="G5" s="1" t="s">
        <v>24</v>
      </c>
      <c r="H5" s="1">
        <v>245.48</v>
      </c>
      <c r="I5" s="1">
        <v>197.23</v>
      </c>
      <c r="J5" s="1"/>
    </row>
    <row r="6" hidden="1">
      <c r="A6" s="1" t="s">
        <v>29</v>
      </c>
      <c r="B6" s="1" t="s">
        <v>30</v>
      </c>
      <c r="C6" s="1" t="s">
        <v>31</v>
      </c>
      <c r="D6" s="1" t="s">
        <v>32</v>
      </c>
      <c r="E6" s="2">
        <v>45394.0</v>
      </c>
      <c r="F6" s="1" t="s">
        <v>14</v>
      </c>
      <c r="G6" s="1" t="s">
        <v>20</v>
      </c>
      <c r="H6" s="1">
        <v>75.07</v>
      </c>
      <c r="I6" s="1">
        <v>72.29</v>
      </c>
      <c r="J6" s="1"/>
    </row>
    <row r="7">
      <c r="A7" s="1" t="s">
        <v>33</v>
      </c>
      <c r="B7" s="1" t="s">
        <v>17</v>
      </c>
      <c r="C7" s="1" t="s">
        <v>12</v>
      </c>
      <c r="D7" s="1" t="s">
        <v>13</v>
      </c>
      <c r="E7" s="2">
        <v>45355.0</v>
      </c>
      <c r="F7" s="1" t="s">
        <v>19</v>
      </c>
      <c r="G7" s="1" t="s">
        <v>34</v>
      </c>
      <c r="H7" s="1">
        <v>348.16</v>
      </c>
      <c r="I7" s="1">
        <v>353.94</v>
      </c>
      <c r="J7" s="1"/>
      <c r="K7" s="1" t="s">
        <v>14</v>
      </c>
      <c r="L7" s="3">
        <f>SUMIF(F:F,"Medicare",I:I)</f>
        <v>4842.56</v>
      </c>
    </row>
    <row r="8" hidden="1">
      <c r="A8" s="1" t="s">
        <v>35</v>
      </c>
      <c r="B8" s="1" t="s">
        <v>17</v>
      </c>
      <c r="C8" s="1" t="s">
        <v>31</v>
      </c>
      <c r="D8" s="1" t="s">
        <v>27</v>
      </c>
      <c r="E8" s="2">
        <v>45606.0</v>
      </c>
      <c r="F8" s="1" t="s">
        <v>19</v>
      </c>
      <c r="G8" s="1" t="s">
        <v>20</v>
      </c>
      <c r="H8" s="1">
        <v>370.47</v>
      </c>
      <c r="I8" s="1">
        <v>225.59</v>
      </c>
      <c r="J8" s="1"/>
    </row>
    <row r="9" hidden="1">
      <c r="A9" s="1" t="s">
        <v>36</v>
      </c>
      <c r="B9" s="1" t="s">
        <v>37</v>
      </c>
      <c r="C9" s="1" t="s">
        <v>12</v>
      </c>
      <c r="D9" s="1" t="s">
        <v>27</v>
      </c>
      <c r="E9" s="2">
        <v>45578.0</v>
      </c>
      <c r="F9" s="1" t="s">
        <v>19</v>
      </c>
      <c r="G9" s="1" t="s">
        <v>20</v>
      </c>
      <c r="H9" s="1">
        <v>159.6</v>
      </c>
      <c r="I9" s="1">
        <v>147.28</v>
      </c>
      <c r="J9" s="1"/>
    </row>
    <row r="10" hidden="1">
      <c r="A10" s="1" t="s">
        <v>38</v>
      </c>
      <c r="B10" s="1" t="s">
        <v>39</v>
      </c>
      <c r="C10" s="1" t="s">
        <v>31</v>
      </c>
      <c r="D10" s="1" t="s">
        <v>27</v>
      </c>
      <c r="E10" s="2">
        <v>45608.0</v>
      </c>
      <c r="F10" s="1" t="s">
        <v>14</v>
      </c>
      <c r="G10" s="1" t="s">
        <v>24</v>
      </c>
      <c r="H10" s="1">
        <v>108.76</v>
      </c>
      <c r="I10" s="1">
        <v>69.57</v>
      </c>
      <c r="J10" s="1"/>
    </row>
    <row r="11" hidden="1">
      <c r="A11" s="1" t="s">
        <v>40</v>
      </c>
      <c r="B11" s="1" t="s">
        <v>41</v>
      </c>
      <c r="C11" s="1" t="s">
        <v>12</v>
      </c>
      <c r="D11" s="1" t="s">
        <v>23</v>
      </c>
      <c r="E11" s="2">
        <v>45559.0</v>
      </c>
      <c r="F11" s="1" t="s">
        <v>28</v>
      </c>
      <c r="G11" s="1" t="s">
        <v>42</v>
      </c>
      <c r="H11" s="1">
        <v>180.2</v>
      </c>
      <c r="I11" s="1">
        <v>137.94</v>
      </c>
      <c r="J11" s="1"/>
    </row>
    <row r="12" hidden="1">
      <c r="A12" s="1" t="s">
        <v>43</v>
      </c>
      <c r="B12" s="1" t="s">
        <v>44</v>
      </c>
      <c r="C12" s="1" t="s">
        <v>31</v>
      </c>
      <c r="D12" s="1" t="s">
        <v>32</v>
      </c>
      <c r="E12" s="2">
        <v>45468.0</v>
      </c>
      <c r="F12" s="1" t="s">
        <v>14</v>
      </c>
      <c r="G12" s="1" t="s">
        <v>15</v>
      </c>
      <c r="H12" s="1">
        <v>235.21</v>
      </c>
      <c r="I12" s="1">
        <v>173.27</v>
      </c>
      <c r="J12" s="1"/>
    </row>
    <row r="13">
      <c r="A13" s="1" t="s">
        <v>45</v>
      </c>
      <c r="B13" s="1" t="s">
        <v>46</v>
      </c>
      <c r="C13" s="1" t="s">
        <v>47</v>
      </c>
      <c r="D13" s="1" t="s">
        <v>13</v>
      </c>
      <c r="E13" s="2">
        <v>45454.0</v>
      </c>
      <c r="F13" s="1" t="s">
        <v>19</v>
      </c>
      <c r="G13" s="1" t="s">
        <v>34</v>
      </c>
      <c r="H13" s="1">
        <v>338.45</v>
      </c>
      <c r="I13" s="1">
        <v>352.48</v>
      </c>
      <c r="J13" s="1"/>
      <c r="K13" s="1" t="s">
        <v>28</v>
      </c>
      <c r="L13" s="3">
        <f>SUMIF(F:F,"Private",I:I)</f>
        <v>7265.24</v>
      </c>
    </row>
    <row r="14" hidden="1">
      <c r="A14" s="1" t="s">
        <v>48</v>
      </c>
      <c r="B14" s="1" t="s">
        <v>46</v>
      </c>
      <c r="C14" s="1" t="s">
        <v>31</v>
      </c>
      <c r="D14" s="1" t="s">
        <v>13</v>
      </c>
      <c r="E14" s="2">
        <v>45406.0</v>
      </c>
      <c r="F14" s="1" t="s">
        <v>19</v>
      </c>
      <c r="G14" s="1" t="s">
        <v>24</v>
      </c>
      <c r="H14" s="1">
        <v>214.54</v>
      </c>
      <c r="I14" s="1">
        <v>196.22</v>
      </c>
      <c r="J14" s="1"/>
    </row>
    <row r="15" hidden="1">
      <c r="A15" s="1" t="s">
        <v>49</v>
      </c>
      <c r="B15" s="1" t="s">
        <v>41</v>
      </c>
      <c r="C15" s="1" t="s">
        <v>50</v>
      </c>
      <c r="D15" s="1" t="s">
        <v>18</v>
      </c>
      <c r="E15" s="2">
        <v>45543.0</v>
      </c>
      <c r="F15" s="1" t="s">
        <v>28</v>
      </c>
      <c r="G15" s="1" t="s">
        <v>42</v>
      </c>
      <c r="H15" s="1">
        <v>369.34</v>
      </c>
      <c r="I15" s="1">
        <v>228.09</v>
      </c>
      <c r="J15" s="1"/>
    </row>
    <row r="16">
      <c r="A16" s="1" t="s">
        <v>51</v>
      </c>
      <c r="B16" s="1" t="s">
        <v>41</v>
      </c>
      <c r="C16" s="1" t="s">
        <v>12</v>
      </c>
      <c r="D16" s="1" t="s">
        <v>13</v>
      </c>
      <c r="E16" s="2">
        <v>45448.0</v>
      </c>
      <c r="F16" s="1" t="s">
        <v>28</v>
      </c>
      <c r="G16" s="1" t="s">
        <v>24</v>
      </c>
      <c r="H16" s="1">
        <v>338.52</v>
      </c>
      <c r="I16" s="1">
        <v>349.95</v>
      </c>
      <c r="J16" s="1"/>
    </row>
    <row r="17">
      <c r="A17" s="1" t="s">
        <v>52</v>
      </c>
      <c r="B17" s="1" t="s">
        <v>53</v>
      </c>
      <c r="C17" s="1" t="s">
        <v>47</v>
      </c>
      <c r="D17" s="1" t="s">
        <v>18</v>
      </c>
      <c r="E17" s="2">
        <v>45430.0</v>
      </c>
      <c r="F17" s="1" t="s">
        <v>14</v>
      </c>
      <c r="G17" s="1" t="s">
        <v>34</v>
      </c>
      <c r="H17" s="1">
        <v>329.83</v>
      </c>
      <c r="I17" s="1">
        <v>343.89</v>
      </c>
      <c r="J17" s="1"/>
    </row>
    <row r="18" hidden="1">
      <c r="A18" s="1" t="s">
        <v>54</v>
      </c>
      <c r="B18" s="1" t="s">
        <v>55</v>
      </c>
      <c r="C18" s="1" t="s">
        <v>12</v>
      </c>
      <c r="D18" s="1" t="s">
        <v>13</v>
      </c>
      <c r="E18" s="2">
        <v>45331.0</v>
      </c>
      <c r="F18" s="1" t="s">
        <v>28</v>
      </c>
      <c r="G18" s="1" t="s">
        <v>20</v>
      </c>
      <c r="H18" s="1">
        <v>298.54</v>
      </c>
      <c r="I18" s="1">
        <v>233.91</v>
      </c>
      <c r="J18" s="1"/>
    </row>
    <row r="19" hidden="1">
      <c r="A19" s="1" t="s">
        <v>56</v>
      </c>
      <c r="B19" s="1" t="s">
        <v>57</v>
      </c>
      <c r="C19" s="1" t="s">
        <v>47</v>
      </c>
      <c r="D19" s="1" t="s">
        <v>23</v>
      </c>
      <c r="E19" s="2">
        <v>45393.0</v>
      </c>
      <c r="F19" s="1" t="s">
        <v>28</v>
      </c>
      <c r="G19" s="1" t="s">
        <v>20</v>
      </c>
      <c r="H19" s="1">
        <v>201.2</v>
      </c>
      <c r="I19" s="1">
        <v>126.33</v>
      </c>
      <c r="J19" s="1"/>
    </row>
    <row r="20" hidden="1">
      <c r="A20" s="1" t="s">
        <v>58</v>
      </c>
      <c r="B20" s="1" t="s">
        <v>59</v>
      </c>
      <c r="C20" s="1" t="s">
        <v>47</v>
      </c>
      <c r="D20" s="1" t="s">
        <v>27</v>
      </c>
      <c r="E20" s="2">
        <v>45479.0</v>
      </c>
      <c r="F20" s="1" t="s">
        <v>14</v>
      </c>
      <c r="G20" s="1" t="s">
        <v>42</v>
      </c>
      <c r="H20" s="1">
        <v>26.47</v>
      </c>
      <c r="I20" s="1">
        <v>15.89</v>
      </c>
      <c r="J20" s="1"/>
    </row>
    <row r="21" hidden="1">
      <c r="A21" s="1" t="s">
        <v>60</v>
      </c>
      <c r="B21" s="1" t="s">
        <v>61</v>
      </c>
      <c r="C21" s="1" t="s">
        <v>31</v>
      </c>
      <c r="D21" s="1" t="s">
        <v>32</v>
      </c>
      <c r="E21" s="2">
        <v>45609.0</v>
      </c>
      <c r="F21" s="1" t="s">
        <v>14</v>
      </c>
      <c r="G21" s="1" t="s">
        <v>24</v>
      </c>
      <c r="H21" s="1">
        <v>190.13</v>
      </c>
      <c r="I21" s="1">
        <v>124.6</v>
      </c>
      <c r="J21" s="1"/>
    </row>
    <row r="22" hidden="1">
      <c r="A22" s="1" t="s">
        <v>62</v>
      </c>
      <c r="B22" s="1" t="s">
        <v>63</v>
      </c>
      <c r="C22" s="1" t="s">
        <v>12</v>
      </c>
      <c r="D22" s="1" t="s">
        <v>18</v>
      </c>
      <c r="E22" s="2">
        <v>45553.0</v>
      </c>
      <c r="F22" s="1" t="s">
        <v>19</v>
      </c>
      <c r="G22" s="1" t="s">
        <v>24</v>
      </c>
      <c r="H22" s="1">
        <v>148.42</v>
      </c>
      <c r="I22" s="1">
        <v>126.98</v>
      </c>
      <c r="J22" s="1"/>
    </row>
    <row r="23" hidden="1">
      <c r="A23" s="1" t="s">
        <v>64</v>
      </c>
      <c r="B23" s="1" t="s">
        <v>65</v>
      </c>
      <c r="C23" s="1" t="s">
        <v>50</v>
      </c>
      <c r="D23" s="1" t="s">
        <v>13</v>
      </c>
      <c r="E23" s="2">
        <v>45446.0</v>
      </c>
      <c r="F23" s="1" t="s">
        <v>28</v>
      </c>
      <c r="G23" s="1" t="s">
        <v>20</v>
      </c>
      <c r="H23" s="1">
        <v>229.07</v>
      </c>
      <c r="I23" s="1">
        <v>159.26</v>
      </c>
      <c r="J23" s="1"/>
    </row>
    <row r="24" hidden="1">
      <c r="A24" s="1" t="s">
        <v>66</v>
      </c>
      <c r="B24" s="1" t="s">
        <v>67</v>
      </c>
      <c r="C24" s="1" t="s">
        <v>50</v>
      </c>
      <c r="D24" s="1" t="s">
        <v>23</v>
      </c>
      <c r="E24" s="2">
        <v>45505.0</v>
      </c>
      <c r="F24" s="1" t="s">
        <v>28</v>
      </c>
      <c r="G24" s="1" t="s">
        <v>42</v>
      </c>
      <c r="H24" s="1">
        <v>213.98</v>
      </c>
      <c r="I24" s="1">
        <v>142.66</v>
      </c>
      <c r="J24" s="1"/>
    </row>
    <row r="25" hidden="1">
      <c r="A25" s="1" t="s">
        <v>68</v>
      </c>
      <c r="B25" s="1" t="s">
        <v>69</v>
      </c>
      <c r="C25" s="1" t="s">
        <v>47</v>
      </c>
      <c r="D25" s="1" t="s">
        <v>18</v>
      </c>
      <c r="E25" s="2">
        <v>45336.0</v>
      </c>
      <c r="F25" s="1" t="s">
        <v>14</v>
      </c>
      <c r="G25" s="1" t="s">
        <v>42</v>
      </c>
      <c r="H25" s="1">
        <v>78.8</v>
      </c>
      <c r="I25" s="1">
        <v>68.96</v>
      </c>
      <c r="J25" s="1"/>
    </row>
    <row r="26">
      <c r="A26" s="1" t="s">
        <v>70</v>
      </c>
      <c r="B26" s="1" t="s">
        <v>71</v>
      </c>
      <c r="C26" s="1" t="s">
        <v>12</v>
      </c>
      <c r="D26" s="1" t="s">
        <v>23</v>
      </c>
      <c r="E26" s="2">
        <v>45583.0</v>
      </c>
      <c r="F26" s="1" t="s">
        <v>19</v>
      </c>
      <c r="G26" s="1" t="s">
        <v>34</v>
      </c>
      <c r="H26" s="1">
        <v>391.2</v>
      </c>
      <c r="I26" s="1">
        <v>339.67</v>
      </c>
      <c r="J26" s="1"/>
    </row>
    <row r="27">
      <c r="A27" s="1" t="s">
        <v>72</v>
      </c>
      <c r="B27" s="1" t="s">
        <v>65</v>
      </c>
      <c r="C27" s="1" t="s">
        <v>31</v>
      </c>
      <c r="D27" s="1" t="s">
        <v>27</v>
      </c>
      <c r="E27" s="2">
        <v>45446.0</v>
      </c>
      <c r="F27" s="1" t="s">
        <v>28</v>
      </c>
      <c r="G27" s="1" t="s">
        <v>42</v>
      </c>
      <c r="H27" s="1">
        <v>383.67</v>
      </c>
      <c r="I27" s="1">
        <v>325.61</v>
      </c>
      <c r="J27" s="1"/>
    </row>
    <row r="28" hidden="1">
      <c r="A28" s="1" t="s">
        <v>73</v>
      </c>
      <c r="B28" s="1" t="s">
        <v>74</v>
      </c>
      <c r="C28" s="1" t="s">
        <v>12</v>
      </c>
      <c r="D28" s="1" t="s">
        <v>18</v>
      </c>
      <c r="E28" s="2">
        <v>45451.0</v>
      </c>
      <c r="F28" s="1" t="s">
        <v>14</v>
      </c>
      <c r="G28" s="1" t="s">
        <v>15</v>
      </c>
      <c r="H28" s="1">
        <v>387.66</v>
      </c>
      <c r="I28" s="1">
        <v>243.34</v>
      </c>
      <c r="J28" s="1"/>
    </row>
    <row r="29">
      <c r="A29" s="1" t="s">
        <v>75</v>
      </c>
      <c r="B29" s="1" t="s">
        <v>76</v>
      </c>
      <c r="C29" s="1" t="s">
        <v>31</v>
      </c>
      <c r="D29" s="1" t="s">
        <v>32</v>
      </c>
      <c r="E29" s="2">
        <v>45577.0</v>
      </c>
      <c r="F29" s="1" t="s">
        <v>19</v>
      </c>
      <c r="G29" s="1" t="s">
        <v>34</v>
      </c>
      <c r="H29" s="1">
        <v>322.38</v>
      </c>
      <c r="I29" s="1">
        <v>314.93</v>
      </c>
      <c r="J29" s="1"/>
    </row>
    <row r="30" hidden="1">
      <c r="A30" s="1" t="s">
        <v>77</v>
      </c>
      <c r="B30" s="1" t="s">
        <v>78</v>
      </c>
      <c r="C30" s="1" t="s">
        <v>50</v>
      </c>
      <c r="D30" s="1" t="s">
        <v>18</v>
      </c>
      <c r="E30" s="2">
        <v>45439.0</v>
      </c>
      <c r="F30" s="1" t="s">
        <v>28</v>
      </c>
      <c r="G30" s="1" t="s">
        <v>34</v>
      </c>
      <c r="H30" s="1">
        <v>365.25</v>
      </c>
      <c r="I30" s="1">
        <v>248.83</v>
      </c>
      <c r="J30" s="1"/>
    </row>
    <row r="31" hidden="1">
      <c r="A31" s="1" t="s">
        <v>79</v>
      </c>
      <c r="B31" s="1" t="s">
        <v>80</v>
      </c>
      <c r="C31" s="1" t="s">
        <v>12</v>
      </c>
      <c r="D31" s="1" t="s">
        <v>13</v>
      </c>
      <c r="E31" s="2">
        <v>45436.0</v>
      </c>
      <c r="F31" s="1" t="s">
        <v>28</v>
      </c>
      <c r="G31" s="1" t="s">
        <v>24</v>
      </c>
      <c r="H31" s="1">
        <v>103.8</v>
      </c>
      <c r="I31" s="1">
        <v>95.73</v>
      </c>
      <c r="J31" s="1"/>
    </row>
    <row r="32" hidden="1">
      <c r="A32" s="1" t="s">
        <v>81</v>
      </c>
      <c r="B32" s="1" t="s">
        <v>82</v>
      </c>
      <c r="C32" s="1" t="s">
        <v>31</v>
      </c>
      <c r="D32" s="1" t="s">
        <v>27</v>
      </c>
      <c r="E32" s="2">
        <v>45605.0</v>
      </c>
      <c r="F32" s="1" t="s">
        <v>14</v>
      </c>
      <c r="G32" s="1" t="s">
        <v>42</v>
      </c>
      <c r="H32" s="1">
        <v>310.22</v>
      </c>
      <c r="I32" s="1">
        <v>203.48</v>
      </c>
      <c r="J32" s="1"/>
    </row>
    <row r="33" hidden="1">
      <c r="A33" s="1" t="s">
        <v>83</v>
      </c>
      <c r="B33" s="1" t="s">
        <v>84</v>
      </c>
      <c r="C33" s="1" t="s">
        <v>12</v>
      </c>
      <c r="D33" s="1" t="s">
        <v>13</v>
      </c>
      <c r="E33" s="2">
        <v>45543.0</v>
      </c>
      <c r="F33" s="1" t="s">
        <v>28</v>
      </c>
      <c r="G33" s="1" t="s">
        <v>20</v>
      </c>
      <c r="H33" s="1">
        <v>175.75</v>
      </c>
      <c r="I33" s="1">
        <v>108.99</v>
      </c>
      <c r="J33" s="1"/>
    </row>
    <row r="34">
      <c r="A34" s="1" t="s">
        <v>85</v>
      </c>
      <c r="B34" s="1" t="s">
        <v>22</v>
      </c>
      <c r="C34" s="1" t="s">
        <v>12</v>
      </c>
      <c r="D34" s="1" t="s">
        <v>32</v>
      </c>
      <c r="E34" s="2">
        <v>45631.0</v>
      </c>
      <c r="F34" s="1" t="s">
        <v>19</v>
      </c>
      <c r="G34" s="1" t="s">
        <v>34</v>
      </c>
      <c r="H34" s="1">
        <v>371.18</v>
      </c>
      <c r="I34" s="1">
        <v>303.44</v>
      </c>
      <c r="J34" s="1"/>
    </row>
    <row r="35" hidden="1">
      <c r="A35" s="1" t="s">
        <v>86</v>
      </c>
      <c r="B35" s="1" t="s">
        <v>87</v>
      </c>
      <c r="C35" s="1" t="s">
        <v>47</v>
      </c>
      <c r="D35" s="1" t="s">
        <v>23</v>
      </c>
      <c r="E35" s="2">
        <v>45313.0</v>
      </c>
      <c r="F35" s="1" t="s">
        <v>19</v>
      </c>
      <c r="G35" s="1" t="s">
        <v>24</v>
      </c>
      <c r="H35" s="1">
        <v>270.62</v>
      </c>
      <c r="I35" s="1">
        <v>238.16</v>
      </c>
      <c r="J35" s="1"/>
    </row>
    <row r="36" hidden="1">
      <c r="A36" s="1" t="s">
        <v>88</v>
      </c>
      <c r="B36" s="1" t="s">
        <v>89</v>
      </c>
      <c r="C36" s="1" t="s">
        <v>50</v>
      </c>
      <c r="D36" s="1" t="s">
        <v>23</v>
      </c>
      <c r="E36" s="2">
        <v>45445.0</v>
      </c>
      <c r="F36" s="1" t="s">
        <v>28</v>
      </c>
      <c r="G36" s="1" t="s">
        <v>15</v>
      </c>
      <c r="H36" s="1">
        <v>234.34</v>
      </c>
      <c r="I36" s="1">
        <v>183.15</v>
      </c>
      <c r="J36" s="1"/>
    </row>
    <row r="37" hidden="1">
      <c r="A37" s="1" t="s">
        <v>90</v>
      </c>
      <c r="B37" s="1" t="s">
        <v>55</v>
      </c>
      <c r="C37" s="1" t="s">
        <v>50</v>
      </c>
      <c r="D37" s="1" t="s">
        <v>32</v>
      </c>
      <c r="E37" s="2">
        <v>45502.0</v>
      </c>
      <c r="F37" s="1" t="s">
        <v>28</v>
      </c>
      <c r="G37" s="1" t="s">
        <v>20</v>
      </c>
      <c r="H37" s="1">
        <v>152.02</v>
      </c>
      <c r="I37" s="1">
        <v>109.91</v>
      </c>
      <c r="J37" s="1"/>
    </row>
    <row r="38" hidden="1">
      <c r="A38" s="1" t="s">
        <v>91</v>
      </c>
      <c r="B38" s="1" t="s">
        <v>92</v>
      </c>
      <c r="C38" s="1" t="s">
        <v>31</v>
      </c>
      <c r="D38" s="1" t="s">
        <v>18</v>
      </c>
      <c r="E38" s="2">
        <v>45484.0</v>
      </c>
      <c r="F38" s="1" t="s">
        <v>19</v>
      </c>
      <c r="G38" s="1" t="s">
        <v>34</v>
      </c>
      <c r="H38" s="1">
        <v>113.12</v>
      </c>
      <c r="I38" s="1">
        <v>83.47</v>
      </c>
      <c r="J38" s="1"/>
    </row>
    <row r="39" hidden="1">
      <c r="A39" s="1" t="s">
        <v>93</v>
      </c>
      <c r="B39" s="1" t="s">
        <v>94</v>
      </c>
      <c r="C39" s="1" t="s">
        <v>12</v>
      </c>
      <c r="D39" s="1" t="s">
        <v>18</v>
      </c>
      <c r="E39" s="2">
        <v>45375.0</v>
      </c>
      <c r="F39" s="1" t="s">
        <v>14</v>
      </c>
      <c r="G39" s="1" t="s">
        <v>34</v>
      </c>
      <c r="H39" s="1">
        <v>243.51</v>
      </c>
      <c r="I39" s="1">
        <v>148.69</v>
      </c>
      <c r="J39" s="1"/>
    </row>
    <row r="40">
      <c r="A40" s="1" t="s">
        <v>95</v>
      </c>
      <c r="B40" s="1" t="s">
        <v>96</v>
      </c>
      <c r="C40" s="1" t="s">
        <v>31</v>
      </c>
      <c r="D40" s="1" t="s">
        <v>13</v>
      </c>
      <c r="E40" s="2">
        <v>45430.0</v>
      </c>
      <c r="F40" s="1" t="s">
        <v>28</v>
      </c>
      <c r="G40" s="1" t="s">
        <v>15</v>
      </c>
      <c r="H40" s="1">
        <v>304.56</v>
      </c>
      <c r="I40" s="1">
        <v>301.99</v>
      </c>
      <c r="J40" s="1"/>
    </row>
    <row r="41" hidden="1">
      <c r="A41" s="1" t="s">
        <v>97</v>
      </c>
      <c r="B41" s="1" t="s">
        <v>61</v>
      </c>
      <c r="C41" s="1" t="s">
        <v>47</v>
      </c>
      <c r="D41" s="1" t="s">
        <v>13</v>
      </c>
      <c r="E41" s="2">
        <v>45402.0</v>
      </c>
      <c r="F41" s="1" t="s">
        <v>14</v>
      </c>
      <c r="G41" s="1" t="s">
        <v>24</v>
      </c>
      <c r="H41" s="1">
        <v>116.51</v>
      </c>
      <c r="I41" s="1">
        <v>70.51</v>
      </c>
      <c r="J41" s="1"/>
    </row>
    <row r="42" hidden="1">
      <c r="A42" s="1" t="s">
        <v>98</v>
      </c>
      <c r="B42" s="1" t="s">
        <v>99</v>
      </c>
      <c r="C42" s="1" t="s">
        <v>31</v>
      </c>
      <c r="D42" s="1" t="s">
        <v>18</v>
      </c>
      <c r="E42" s="2">
        <v>45456.0</v>
      </c>
      <c r="F42" s="1" t="s">
        <v>28</v>
      </c>
      <c r="G42" s="1" t="s">
        <v>24</v>
      </c>
      <c r="H42" s="1">
        <v>322.99</v>
      </c>
      <c r="I42" s="1">
        <v>235.09</v>
      </c>
      <c r="J42" s="1"/>
    </row>
    <row r="43" hidden="1">
      <c r="A43" s="1" t="s">
        <v>100</v>
      </c>
      <c r="B43" s="1" t="s">
        <v>101</v>
      </c>
      <c r="C43" s="1" t="s">
        <v>50</v>
      </c>
      <c r="D43" s="1" t="s">
        <v>18</v>
      </c>
      <c r="E43" s="2">
        <v>45637.0</v>
      </c>
      <c r="F43" s="1" t="s">
        <v>19</v>
      </c>
      <c r="G43" s="1" t="s">
        <v>15</v>
      </c>
      <c r="H43" s="1">
        <v>173.23</v>
      </c>
      <c r="I43" s="1">
        <v>131.79</v>
      </c>
      <c r="J43" s="1"/>
    </row>
    <row r="44" hidden="1">
      <c r="A44" s="1" t="s">
        <v>102</v>
      </c>
      <c r="B44" s="1" t="s">
        <v>103</v>
      </c>
      <c r="C44" s="1" t="s">
        <v>31</v>
      </c>
      <c r="D44" s="1" t="s">
        <v>32</v>
      </c>
      <c r="E44" s="2">
        <v>45363.0</v>
      </c>
      <c r="F44" s="1" t="s">
        <v>28</v>
      </c>
      <c r="G44" s="1" t="s">
        <v>15</v>
      </c>
      <c r="H44" s="1">
        <v>311.95</v>
      </c>
      <c r="I44" s="1">
        <v>249.77</v>
      </c>
      <c r="J44" s="1"/>
    </row>
    <row r="45" hidden="1">
      <c r="A45" s="1" t="s">
        <v>104</v>
      </c>
      <c r="B45" s="1" t="s">
        <v>105</v>
      </c>
      <c r="C45" s="1" t="s">
        <v>12</v>
      </c>
      <c r="D45" s="1" t="s">
        <v>13</v>
      </c>
      <c r="E45" s="2">
        <v>45541.0</v>
      </c>
      <c r="F45" s="1" t="s">
        <v>19</v>
      </c>
      <c r="G45" s="1" t="s">
        <v>20</v>
      </c>
      <c r="H45" s="1">
        <v>175.14</v>
      </c>
      <c r="I45" s="1">
        <v>140.64</v>
      </c>
      <c r="J45" s="1"/>
    </row>
    <row r="46" hidden="1">
      <c r="A46" s="1" t="s">
        <v>106</v>
      </c>
      <c r="B46" s="1" t="s">
        <v>107</v>
      </c>
      <c r="C46" s="1" t="s">
        <v>47</v>
      </c>
      <c r="D46" s="1" t="s">
        <v>18</v>
      </c>
      <c r="E46" s="2">
        <v>45479.0</v>
      </c>
      <c r="F46" s="1" t="s">
        <v>28</v>
      </c>
      <c r="G46" s="1" t="s">
        <v>24</v>
      </c>
      <c r="H46" s="1">
        <v>188.04</v>
      </c>
      <c r="I46" s="1">
        <v>116.63</v>
      </c>
      <c r="J46" s="1"/>
    </row>
    <row r="47" hidden="1">
      <c r="A47" s="1" t="s">
        <v>108</v>
      </c>
      <c r="B47" s="1" t="s">
        <v>109</v>
      </c>
      <c r="C47" s="1" t="s">
        <v>12</v>
      </c>
      <c r="D47" s="1" t="s">
        <v>18</v>
      </c>
      <c r="E47" s="2">
        <v>45331.0</v>
      </c>
      <c r="F47" s="1" t="s">
        <v>14</v>
      </c>
      <c r="G47" s="1" t="s">
        <v>20</v>
      </c>
      <c r="H47" s="1">
        <v>284.14</v>
      </c>
      <c r="I47" s="1">
        <v>242.84</v>
      </c>
      <c r="J47" s="1"/>
    </row>
    <row r="48">
      <c r="A48" s="1" t="s">
        <v>110</v>
      </c>
      <c r="B48" s="1" t="s">
        <v>111</v>
      </c>
      <c r="C48" s="1" t="s">
        <v>47</v>
      </c>
      <c r="D48" s="1" t="s">
        <v>13</v>
      </c>
      <c r="E48" s="2">
        <v>45541.0</v>
      </c>
      <c r="F48" s="1" t="s">
        <v>19</v>
      </c>
      <c r="G48" s="1" t="s">
        <v>24</v>
      </c>
      <c r="H48" s="1">
        <v>370.78</v>
      </c>
      <c r="I48" s="1">
        <v>297.02</v>
      </c>
      <c r="J48" s="1"/>
    </row>
    <row r="49">
      <c r="A49" s="1" t="s">
        <v>112</v>
      </c>
      <c r="B49" s="1" t="s">
        <v>113</v>
      </c>
      <c r="C49" s="1" t="s">
        <v>31</v>
      </c>
      <c r="D49" s="1" t="s">
        <v>13</v>
      </c>
      <c r="E49" s="2">
        <v>45421.0</v>
      </c>
      <c r="F49" s="1" t="s">
        <v>14</v>
      </c>
      <c r="G49" s="1" t="s">
        <v>34</v>
      </c>
      <c r="H49" s="1">
        <v>267.43</v>
      </c>
      <c r="I49" s="1">
        <v>291.6</v>
      </c>
      <c r="J49" s="1"/>
    </row>
    <row r="50" hidden="1">
      <c r="A50" s="1" t="s">
        <v>114</v>
      </c>
      <c r="B50" s="1" t="s">
        <v>103</v>
      </c>
      <c r="C50" s="1" t="s">
        <v>50</v>
      </c>
      <c r="D50" s="1" t="s">
        <v>23</v>
      </c>
      <c r="E50" s="2">
        <v>45557.0</v>
      </c>
      <c r="F50" s="1" t="s">
        <v>28</v>
      </c>
      <c r="G50" s="1" t="s">
        <v>24</v>
      </c>
      <c r="H50" s="1">
        <v>231.14</v>
      </c>
      <c r="I50" s="1">
        <v>183.0</v>
      </c>
      <c r="J50" s="1"/>
    </row>
    <row r="51">
      <c r="A51" s="1" t="s">
        <v>115</v>
      </c>
      <c r="B51" s="1" t="s">
        <v>44</v>
      </c>
      <c r="C51" s="1" t="s">
        <v>47</v>
      </c>
      <c r="D51" s="1" t="s">
        <v>27</v>
      </c>
      <c r="E51" s="2">
        <v>45501.0</v>
      </c>
      <c r="F51" s="1" t="s">
        <v>14</v>
      </c>
      <c r="G51" s="1" t="s">
        <v>15</v>
      </c>
      <c r="H51" s="1">
        <v>399.11</v>
      </c>
      <c r="I51" s="1">
        <v>290.75</v>
      </c>
      <c r="J51" s="1"/>
    </row>
    <row r="52" hidden="1">
      <c r="A52" s="1" t="s">
        <v>116</v>
      </c>
      <c r="B52" s="1" t="s">
        <v>37</v>
      </c>
      <c r="C52" s="1" t="s">
        <v>50</v>
      </c>
      <c r="D52" s="1" t="s">
        <v>18</v>
      </c>
      <c r="E52" s="2">
        <v>45574.0</v>
      </c>
      <c r="F52" s="1" t="s">
        <v>19</v>
      </c>
      <c r="G52" s="1" t="s">
        <v>20</v>
      </c>
      <c r="H52" s="1">
        <v>15.74</v>
      </c>
      <c r="I52" s="1">
        <v>10.64</v>
      </c>
      <c r="J52" s="1"/>
    </row>
    <row r="53" hidden="1">
      <c r="A53" s="1" t="s">
        <v>117</v>
      </c>
      <c r="B53" s="1" t="s">
        <v>118</v>
      </c>
      <c r="C53" s="1" t="s">
        <v>31</v>
      </c>
      <c r="D53" s="1" t="s">
        <v>13</v>
      </c>
      <c r="E53" s="2">
        <v>45592.0</v>
      </c>
      <c r="F53" s="1" t="s">
        <v>28</v>
      </c>
      <c r="G53" s="1" t="s">
        <v>24</v>
      </c>
      <c r="H53" s="1">
        <v>176.65</v>
      </c>
      <c r="I53" s="1">
        <v>153.25</v>
      </c>
      <c r="J53" s="1"/>
    </row>
    <row r="54" hidden="1">
      <c r="A54" s="1" t="s">
        <v>119</v>
      </c>
      <c r="B54" s="1" t="s">
        <v>65</v>
      </c>
      <c r="C54" s="1" t="s">
        <v>47</v>
      </c>
      <c r="D54" s="1" t="s">
        <v>18</v>
      </c>
      <c r="E54" s="2">
        <v>45311.0</v>
      </c>
      <c r="F54" s="1" t="s">
        <v>28</v>
      </c>
      <c r="G54" s="1" t="s">
        <v>20</v>
      </c>
      <c r="H54" s="1">
        <v>309.28</v>
      </c>
      <c r="I54" s="1">
        <v>198.81</v>
      </c>
      <c r="J54" s="1"/>
    </row>
    <row r="55" hidden="1">
      <c r="A55" s="1" t="s">
        <v>120</v>
      </c>
      <c r="B55" s="1" t="s">
        <v>121</v>
      </c>
      <c r="C55" s="1" t="s">
        <v>50</v>
      </c>
      <c r="D55" s="1" t="s">
        <v>13</v>
      </c>
      <c r="E55" s="2">
        <v>45345.0</v>
      </c>
      <c r="F55" s="1" t="s">
        <v>14</v>
      </c>
      <c r="G55" s="1" t="s">
        <v>24</v>
      </c>
      <c r="H55" s="1">
        <v>123.69</v>
      </c>
      <c r="I55" s="1">
        <v>76.53</v>
      </c>
      <c r="J55" s="1"/>
    </row>
    <row r="56">
      <c r="A56" s="1" t="s">
        <v>122</v>
      </c>
      <c r="B56" s="1" t="s">
        <v>123</v>
      </c>
      <c r="C56" s="1" t="s">
        <v>31</v>
      </c>
      <c r="D56" s="1" t="s">
        <v>32</v>
      </c>
      <c r="E56" s="2">
        <v>45480.0</v>
      </c>
      <c r="F56" s="1" t="s">
        <v>19</v>
      </c>
      <c r="G56" s="1" t="s">
        <v>24</v>
      </c>
      <c r="H56" s="1">
        <v>368.51</v>
      </c>
      <c r="I56" s="1">
        <v>284.15</v>
      </c>
      <c r="J56" s="1"/>
    </row>
    <row r="57" hidden="1">
      <c r="A57" s="1" t="s">
        <v>124</v>
      </c>
      <c r="B57" s="1" t="s">
        <v>125</v>
      </c>
      <c r="C57" s="1" t="s">
        <v>47</v>
      </c>
      <c r="D57" s="1" t="s">
        <v>27</v>
      </c>
      <c r="E57" s="2">
        <v>45313.0</v>
      </c>
      <c r="F57" s="1" t="s">
        <v>14</v>
      </c>
      <c r="G57" s="1" t="s">
        <v>42</v>
      </c>
      <c r="H57" s="1">
        <v>188.19</v>
      </c>
      <c r="I57" s="1">
        <v>165.73</v>
      </c>
      <c r="J57" s="1"/>
    </row>
    <row r="58" hidden="1">
      <c r="A58" s="1" t="s">
        <v>126</v>
      </c>
      <c r="B58" s="1" t="s">
        <v>127</v>
      </c>
      <c r="C58" s="1" t="s">
        <v>50</v>
      </c>
      <c r="D58" s="1" t="s">
        <v>18</v>
      </c>
      <c r="E58" s="2">
        <v>45375.0</v>
      </c>
      <c r="F58" s="1" t="s">
        <v>14</v>
      </c>
      <c r="G58" s="1" t="s">
        <v>15</v>
      </c>
      <c r="H58" s="1">
        <v>237.95</v>
      </c>
      <c r="I58" s="1">
        <v>190.28</v>
      </c>
      <c r="J58" s="1"/>
    </row>
    <row r="59">
      <c r="A59" s="1" t="s">
        <v>128</v>
      </c>
      <c r="B59" s="1" t="s">
        <v>11</v>
      </c>
      <c r="C59" s="1" t="s">
        <v>47</v>
      </c>
      <c r="D59" s="1" t="s">
        <v>13</v>
      </c>
      <c r="E59" s="2">
        <v>45538.0</v>
      </c>
      <c r="F59" s="1" t="s">
        <v>14</v>
      </c>
      <c r="G59" s="1" t="s">
        <v>15</v>
      </c>
      <c r="H59" s="1">
        <v>351.49</v>
      </c>
      <c r="I59" s="1">
        <v>282.68</v>
      </c>
      <c r="J59" s="1"/>
    </row>
    <row r="60">
      <c r="A60" s="1" t="s">
        <v>129</v>
      </c>
      <c r="B60" s="1" t="s">
        <v>41</v>
      </c>
      <c r="C60" s="1" t="s">
        <v>31</v>
      </c>
      <c r="D60" s="1" t="s">
        <v>18</v>
      </c>
      <c r="E60" s="2">
        <v>45299.0</v>
      </c>
      <c r="F60" s="1" t="s">
        <v>28</v>
      </c>
      <c r="G60" s="1" t="s">
        <v>24</v>
      </c>
      <c r="H60" s="1">
        <v>335.79</v>
      </c>
      <c r="I60" s="1">
        <v>272.93</v>
      </c>
      <c r="J60" s="1"/>
    </row>
    <row r="61">
      <c r="A61" s="1" t="s">
        <v>130</v>
      </c>
      <c r="B61" s="1" t="s">
        <v>71</v>
      </c>
      <c r="C61" s="1" t="s">
        <v>50</v>
      </c>
      <c r="D61" s="1" t="s">
        <v>23</v>
      </c>
      <c r="E61" s="2">
        <v>45458.0</v>
      </c>
      <c r="F61" s="1" t="s">
        <v>19</v>
      </c>
      <c r="G61" s="1" t="s">
        <v>34</v>
      </c>
      <c r="H61" s="1">
        <v>365.17</v>
      </c>
      <c r="I61" s="1">
        <v>271.49</v>
      </c>
      <c r="J61" s="1"/>
    </row>
    <row r="62" hidden="1">
      <c r="A62" s="1" t="s">
        <v>131</v>
      </c>
      <c r="B62" s="1" t="s">
        <v>107</v>
      </c>
      <c r="C62" s="1" t="s">
        <v>31</v>
      </c>
      <c r="D62" s="1" t="s">
        <v>32</v>
      </c>
      <c r="E62" s="2">
        <v>45331.0</v>
      </c>
      <c r="F62" s="1" t="s">
        <v>28</v>
      </c>
      <c r="G62" s="1" t="s">
        <v>24</v>
      </c>
      <c r="H62" s="1">
        <v>263.97</v>
      </c>
      <c r="I62" s="1">
        <v>226.75</v>
      </c>
      <c r="J62" s="1"/>
    </row>
    <row r="63" hidden="1">
      <c r="A63" s="1" t="s">
        <v>132</v>
      </c>
      <c r="B63" s="1" t="s">
        <v>133</v>
      </c>
      <c r="C63" s="1" t="s">
        <v>12</v>
      </c>
      <c r="D63" s="1" t="s">
        <v>18</v>
      </c>
      <c r="E63" s="2">
        <v>45400.0</v>
      </c>
      <c r="F63" s="1" t="s">
        <v>14</v>
      </c>
      <c r="G63" s="1" t="s">
        <v>15</v>
      </c>
      <c r="H63" s="1">
        <v>167.33</v>
      </c>
      <c r="I63" s="1">
        <v>101.89</v>
      </c>
      <c r="J63" s="1"/>
    </row>
    <row r="64" hidden="1">
      <c r="A64" s="1" t="s">
        <v>134</v>
      </c>
      <c r="B64" s="1" t="s">
        <v>135</v>
      </c>
      <c r="C64" s="1" t="s">
        <v>47</v>
      </c>
      <c r="D64" s="1" t="s">
        <v>18</v>
      </c>
      <c r="E64" s="2">
        <v>45334.0</v>
      </c>
      <c r="F64" s="1" t="s">
        <v>28</v>
      </c>
      <c r="G64" s="1" t="s">
        <v>34</v>
      </c>
      <c r="H64" s="1">
        <v>346.06</v>
      </c>
      <c r="I64" s="1">
        <v>233.09</v>
      </c>
      <c r="J64" s="1"/>
    </row>
    <row r="65" hidden="1">
      <c r="A65" s="1" t="s">
        <v>136</v>
      </c>
      <c r="B65" s="1" t="s">
        <v>137</v>
      </c>
      <c r="C65" s="1" t="s">
        <v>31</v>
      </c>
      <c r="D65" s="1" t="s">
        <v>27</v>
      </c>
      <c r="E65" s="2">
        <v>45500.0</v>
      </c>
      <c r="F65" s="1" t="s">
        <v>28</v>
      </c>
      <c r="G65" s="1" t="s">
        <v>34</v>
      </c>
      <c r="H65" s="1">
        <v>114.77</v>
      </c>
      <c r="I65" s="1">
        <v>88.94</v>
      </c>
      <c r="J65" s="1"/>
    </row>
    <row r="66" hidden="1">
      <c r="A66" s="1" t="s">
        <v>138</v>
      </c>
      <c r="B66" s="1" t="s">
        <v>139</v>
      </c>
      <c r="C66" s="1" t="s">
        <v>12</v>
      </c>
      <c r="D66" s="1" t="s">
        <v>32</v>
      </c>
      <c r="E66" s="2">
        <v>45537.0</v>
      </c>
      <c r="F66" s="1" t="s">
        <v>19</v>
      </c>
      <c r="G66" s="1" t="s">
        <v>20</v>
      </c>
      <c r="H66" s="1">
        <v>15.77</v>
      </c>
      <c r="I66" s="1">
        <v>15.15</v>
      </c>
      <c r="J66" s="1"/>
    </row>
    <row r="67" hidden="1">
      <c r="A67" s="1" t="s">
        <v>140</v>
      </c>
      <c r="B67" s="1" t="s">
        <v>41</v>
      </c>
      <c r="C67" s="1" t="s">
        <v>12</v>
      </c>
      <c r="D67" s="1" t="s">
        <v>23</v>
      </c>
      <c r="E67" s="2">
        <v>45556.0</v>
      </c>
      <c r="F67" s="1" t="s">
        <v>28</v>
      </c>
      <c r="G67" s="1" t="s">
        <v>24</v>
      </c>
      <c r="H67" s="1">
        <v>108.79</v>
      </c>
      <c r="I67" s="1">
        <v>107.57</v>
      </c>
      <c r="J67" s="1"/>
    </row>
    <row r="68">
      <c r="A68" s="1" t="s">
        <v>141</v>
      </c>
      <c r="B68" s="1" t="s">
        <v>61</v>
      </c>
      <c r="C68" s="1" t="s">
        <v>50</v>
      </c>
      <c r="D68" s="1" t="s">
        <v>23</v>
      </c>
      <c r="E68" s="2">
        <v>45385.0</v>
      </c>
      <c r="F68" s="1" t="s">
        <v>14</v>
      </c>
      <c r="G68" s="1" t="s">
        <v>24</v>
      </c>
      <c r="H68" s="1">
        <v>282.88</v>
      </c>
      <c r="I68" s="1">
        <v>266.07</v>
      </c>
      <c r="J68" s="1"/>
    </row>
    <row r="69" hidden="1">
      <c r="A69" s="1" t="s">
        <v>142</v>
      </c>
      <c r="B69" s="1" t="s">
        <v>65</v>
      </c>
      <c r="C69" s="1" t="s">
        <v>12</v>
      </c>
      <c r="D69" s="1" t="s">
        <v>27</v>
      </c>
      <c r="E69" s="2">
        <v>45508.0</v>
      </c>
      <c r="F69" s="1" t="s">
        <v>28</v>
      </c>
      <c r="G69" s="1" t="s">
        <v>20</v>
      </c>
      <c r="H69" s="1">
        <v>137.93</v>
      </c>
      <c r="I69" s="1">
        <v>121.22</v>
      </c>
      <c r="J69" s="1"/>
    </row>
    <row r="70" hidden="1">
      <c r="A70" s="1" t="s">
        <v>143</v>
      </c>
      <c r="B70" s="1" t="s">
        <v>84</v>
      </c>
      <c r="C70" s="1" t="s">
        <v>47</v>
      </c>
      <c r="D70" s="1" t="s">
        <v>13</v>
      </c>
      <c r="E70" s="2">
        <v>45326.0</v>
      </c>
      <c r="F70" s="1" t="s">
        <v>28</v>
      </c>
      <c r="G70" s="1" t="s">
        <v>20</v>
      </c>
      <c r="H70" s="1">
        <v>159.2</v>
      </c>
      <c r="I70" s="1">
        <v>105.51</v>
      </c>
      <c r="J70" s="1"/>
    </row>
    <row r="71" hidden="1">
      <c r="A71" s="1" t="s">
        <v>144</v>
      </c>
      <c r="B71" s="1" t="s">
        <v>145</v>
      </c>
      <c r="C71" s="1" t="s">
        <v>31</v>
      </c>
      <c r="D71" s="1" t="s">
        <v>23</v>
      </c>
      <c r="E71" s="2">
        <v>45557.0</v>
      </c>
      <c r="F71" s="1" t="s">
        <v>19</v>
      </c>
      <c r="G71" s="1" t="s">
        <v>20</v>
      </c>
      <c r="H71" s="1">
        <v>308.1</v>
      </c>
      <c r="I71" s="1">
        <v>230.13</v>
      </c>
      <c r="J71" s="1"/>
    </row>
    <row r="72" hidden="1">
      <c r="A72" s="1" t="s">
        <v>146</v>
      </c>
      <c r="B72" s="1" t="s">
        <v>147</v>
      </c>
      <c r="C72" s="1" t="s">
        <v>47</v>
      </c>
      <c r="D72" s="1" t="s">
        <v>23</v>
      </c>
      <c r="E72" s="2">
        <v>45328.0</v>
      </c>
      <c r="F72" s="1" t="s">
        <v>14</v>
      </c>
      <c r="G72" s="1" t="s">
        <v>34</v>
      </c>
      <c r="H72" s="1">
        <v>178.5</v>
      </c>
      <c r="I72" s="1">
        <v>154.21</v>
      </c>
      <c r="J72" s="1"/>
    </row>
    <row r="73">
      <c r="A73" s="1" t="s">
        <v>148</v>
      </c>
      <c r="B73" s="1" t="s">
        <v>149</v>
      </c>
      <c r="C73" s="1" t="s">
        <v>31</v>
      </c>
      <c r="D73" s="1" t="s">
        <v>23</v>
      </c>
      <c r="E73" s="2">
        <v>45542.0</v>
      </c>
      <c r="F73" s="1" t="s">
        <v>28</v>
      </c>
      <c r="G73" s="1" t="s">
        <v>42</v>
      </c>
      <c r="H73" s="1">
        <v>383.08</v>
      </c>
      <c r="I73" s="1">
        <v>260.4</v>
      </c>
      <c r="J73" s="1"/>
    </row>
    <row r="74" hidden="1">
      <c r="A74" s="1" t="s">
        <v>150</v>
      </c>
      <c r="B74" s="1" t="s">
        <v>145</v>
      </c>
      <c r="C74" s="1" t="s">
        <v>12</v>
      </c>
      <c r="D74" s="1" t="s">
        <v>32</v>
      </c>
      <c r="E74" s="2">
        <v>45364.0</v>
      </c>
      <c r="F74" s="1" t="s">
        <v>19</v>
      </c>
      <c r="G74" s="1" t="s">
        <v>20</v>
      </c>
      <c r="H74" s="1">
        <v>238.16</v>
      </c>
      <c r="I74" s="1">
        <v>193.99</v>
      </c>
      <c r="J74" s="1"/>
    </row>
    <row r="75" hidden="1">
      <c r="A75" s="1" t="s">
        <v>151</v>
      </c>
      <c r="B75" s="1" t="s">
        <v>76</v>
      </c>
      <c r="C75" s="1" t="s">
        <v>31</v>
      </c>
      <c r="D75" s="1" t="s">
        <v>23</v>
      </c>
      <c r="E75" s="2">
        <v>45552.0</v>
      </c>
      <c r="F75" s="1" t="s">
        <v>19</v>
      </c>
      <c r="G75" s="1" t="s">
        <v>34</v>
      </c>
      <c r="H75" s="1">
        <v>260.67</v>
      </c>
      <c r="I75" s="1">
        <v>175.76</v>
      </c>
      <c r="J75" s="1"/>
    </row>
    <row r="76" hidden="1">
      <c r="A76" s="1" t="s">
        <v>152</v>
      </c>
      <c r="B76" s="1" t="s">
        <v>153</v>
      </c>
      <c r="C76" s="1" t="s">
        <v>31</v>
      </c>
      <c r="D76" s="1" t="s">
        <v>32</v>
      </c>
      <c r="E76" s="2">
        <v>45458.0</v>
      </c>
      <c r="F76" s="1" t="s">
        <v>28</v>
      </c>
      <c r="G76" s="1" t="s">
        <v>15</v>
      </c>
      <c r="H76" s="1">
        <v>234.33</v>
      </c>
      <c r="I76" s="1">
        <v>161.42</v>
      </c>
      <c r="J76" s="1"/>
    </row>
    <row r="77" hidden="1">
      <c r="A77" s="1" t="s">
        <v>154</v>
      </c>
      <c r="B77" s="1" t="s">
        <v>94</v>
      </c>
      <c r="C77" s="1" t="s">
        <v>12</v>
      </c>
      <c r="D77" s="1" t="s">
        <v>27</v>
      </c>
      <c r="E77" s="2">
        <v>45582.0</v>
      </c>
      <c r="F77" s="1" t="s">
        <v>14</v>
      </c>
      <c r="G77" s="1" t="s">
        <v>34</v>
      </c>
      <c r="H77" s="1">
        <v>234.33</v>
      </c>
      <c r="I77" s="1">
        <v>153.28</v>
      </c>
      <c r="J77" s="1"/>
    </row>
    <row r="78" hidden="1">
      <c r="A78" s="1" t="s">
        <v>155</v>
      </c>
      <c r="B78" s="1" t="s">
        <v>156</v>
      </c>
      <c r="C78" s="1" t="s">
        <v>47</v>
      </c>
      <c r="D78" s="1" t="s">
        <v>23</v>
      </c>
      <c r="E78" s="2">
        <v>45315.0</v>
      </c>
      <c r="F78" s="1" t="s">
        <v>28</v>
      </c>
      <c r="G78" s="1" t="s">
        <v>34</v>
      </c>
      <c r="H78" s="1">
        <v>346.06</v>
      </c>
      <c r="I78" s="1">
        <v>208.57</v>
      </c>
      <c r="J78" s="1"/>
    </row>
    <row r="79" hidden="1">
      <c r="A79" s="1" t="s">
        <v>157</v>
      </c>
      <c r="B79" s="1" t="s">
        <v>158</v>
      </c>
      <c r="C79" s="1" t="s">
        <v>50</v>
      </c>
      <c r="D79" s="1" t="s">
        <v>32</v>
      </c>
      <c r="E79" s="2">
        <v>45544.0</v>
      </c>
      <c r="F79" s="1" t="s">
        <v>19</v>
      </c>
      <c r="G79" s="1" t="s">
        <v>24</v>
      </c>
      <c r="H79" s="1">
        <v>148.42</v>
      </c>
      <c r="I79" s="1">
        <v>93.47</v>
      </c>
      <c r="J79" s="1"/>
    </row>
    <row r="80" hidden="1">
      <c r="A80" s="1" t="s">
        <v>159</v>
      </c>
      <c r="B80" s="1" t="s">
        <v>76</v>
      </c>
      <c r="C80" s="1" t="s">
        <v>12</v>
      </c>
      <c r="D80" s="1" t="s">
        <v>18</v>
      </c>
      <c r="E80" s="2">
        <v>45507.0</v>
      </c>
      <c r="F80" s="1" t="s">
        <v>28</v>
      </c>
      <c r="G80" s="1" t="s">
        <v>42</v>
      </c>
      <c r="H80" s="1">
        <v>24.79</v>
      </c>
      <c r="I80" s="1">
        <v>16.57</v>
      </c>
      <c r="J80" s="1"/>
    </row>
    <row r="81">
      <c r="A81" s="1" t="s">
        <v>160</v>
      </c>
      <c r="B81" s="1" t="s">
        <v>161</v>
      </c>
      <c r="C81" s="1" t="s">
        <v>31</v>
      </c>
      <c r="D81" s="1" t="s">
        <v>13</v>
      </c>
      <c r="E81" s="2">
        <v>45537.0</v>
      </c>
      <c r="F81" s="1" t="s">
        <v>19</v>
      </c>
      <c r="G81" s="1" t="s">
        <v>15</v>
      </c>
      <c r="H81" s="1">
        <v>365.25</v>
      </c>
      <c r="I81" s="1">
        <v>252.57</v>
      </c>
      <c r="J81" s="1"/>
    </row>
    <row r="82" hidden="1">
      <c r="A82" s="1" t="s">
        <v>162</v>
      </c>
      <c r="B82" s="1" t="s">
        <v>163</v>
      </c>
      <c r="C82" s="1" t="s">
        <v>50</v>
      </c>
      <c r="D82" s="1" t="s">
        <v>18</v>
      </c>
      <c r="E82" s="2">
        <v>45423.0</v>
      </c>
      <c r="F82" s="1" t="s">
        <v>28</v>
      </c>
      <c r="G82" s="1" t="s">
        <v>20</v>
      </c>
      <c r="H82" s="1">
        <v>103.8</v>
      </c>
      <c r="I82" s="1">
        <v>63.02</v>
      </c>
      <c r="J82" s="1"/>
    </row>
    <row r="83" hidden="1">
      <c r="A83" s="1" t="s">
        <v>164</v>
      </c>
      <c r="B83" s="1" t="s">
        <v>165</v>
      </c>
      <c r="C83" s="1" t="s">
        <v>50</v>
      </c>
      <c r="D83" s="1" t="s">
        <v>13</v>
      </c>
      <c r="E83" s="2">
        <v>45373.0</v>
      </c>
      <c r="F83" s="1" t="s">
        <v>14</v>
      </c>
      <c r="G83" s="1" t="s">
        <v>24</v>
      </c>
      <c r="H83" s="1">
        <v>113.12</v>
      </c>
      <c r="I83" s="1">
        <v>110.66</v>
      </c>
      <c r="J83" s="1"/>
    </row>
    <row r="84" hidden="1">
      <c r="A84" s="1" t="s">
        <v>166</v>
      </c>
      <c r="B84" s="1" t="s">
        <v>105</v>
      </c>
      <c r="C84" s="1" t="s">
        <v>47</v>
      </c>
      <c r="D84" s="1" t="s">
        <v>18</v>
      </c>
      <c r="E84" s="2">
        <v>45313.0</v>
      </c>
      <c r="F84" s="1" t="s">
        <v>19</v>
      </c>
      <c r="G84" s="1" t="s">
        <v>20</v>
      </c>
      <c r="H84" s="1">
        <v>201.2</v>
      </c>
      <c r="I84" s="1">
        <v>186.29</v>
      </c>
      <c r="J84" s="1"/>
    </row>
    <row r="85">
      <c r="A85" s="1" t="s">
        <v>167</v>
      </c>
      <c r="B85" s="1" t="s">
        <v>67</v>
      </c>
      <c r="C85" s="1" t="s">
        <v>12</v>
      </c>
      <c r="D85" s="1" t="s">
        <v>13</v>
      </c>
      <c r="E85" s="2">
        <v>45364.0</v>
      </c>
      <c r="F85" s="1" t="s">
        <v>28</v>
      </c>
      <c r="G85" s="1" t="s">
        <v>42</v>
      </c>
      <c r="H85" s="1">
        <v>391.2</v>
      </c>
      <c r="I85" s="1">
        <v>252.09</v>
      </c>
      <c r="J85" s="1"/>
    </row>
    <row r="86" hidden="1">
      <c r="A86" s="1" t="s">
        <v>168</v>
      </c>
      <c r="B86" s="1" t="s">
        <v>158</v>
      </c>
      <c r="C86" s="1" t="s">
        <v>47</v>
      </c>
      <c r="D86" s="1" t="s">
        <v>27</v>
      </c>
      <c r="E86" s="2">
        <v>45513.0</v>
      </c>
      <c r="F86" s="1" t="s">
        <v>19</v>
      </c>
      <c r="G86" s="1" t="s">
        <v>24</v>
      </c>
      <c r="H86" s="1">
        <v>108.79</v>
      </c>
      <c r="I86" s="1">
        <v>93.3</v>
      </c>
      <c r="J86" s="1"/>
    </row>
    <row r="87" hidden="1">
      <c r="A87" s="1" t="s">
        <v>169</v>
      </c>
      <c r="B87" s="1" t="s">
        <v>87</v>
      </c>
      <c r="C87" s="1" t="s">
        <v>31</v>
      </c>
      <c r="D87" s="1" t="s">
        <v>18</v>
      </c>
      <c r="E87" s="2">
        <v>45336.0</v>
      </c>
      <c r="F87" s="1" t="s">
        <v>19</v>
      </c>
      <c r="G87" s="1" t="s">
        <v>24</v>
      </c>
      <c r="H87" s="1">
        <v>308.1</v>
      </c>
      <c r="I87" s="1">
        <v>210.87</v>
      </c>
      <c r="J87" s="1"/>
    </row>
    <row r="88" hidden="1">
      <c r="A88" s="1" t="s">
        <v>170</v>
      </c>
      <c r="B88" s="1" t="s">
        <v>96</v>
      </c>
      <c r="C88" s="1" t="s">
        <v>50</v>
      </c>
      <c r="D88" s="1" t="s">
        <v>13</v>
      </c>
      <c r="E88" s="2">
        <v>45507.0</v>
      </c>
      <c r="F88" s="1" t="s">
        <v>28</v>
      </c>
      <c r="G88" s="1" t="s">
        <v>15</v>
      </c>
      <c r="H88" s="1">
        <v>304.56</v>
      </c>
      <c r="I88" s="1">
        <v>227.18</v>
      </c>
      <c r="J88" s="1"/>
    </row>
    <row r="89" hidden="1">
      <c r="A89" s="1" t="s">
        <v>171</v>
      </c>
      <c r="B89" s="1" t="s">
        <v>172</v>
      </c>
      <c r="C89" s="1" t="s">
        <v>12</v>
      </c>
      <c r="D89" s="1" t="s">
        <v>13</v>
      </c>
      <c r="E89" s="2">
        <v>45501.0</v>
      </c>
      <c r="F89" s="1" t="s">
        <v>14</v>
      </c>
      <c r="G89" s="1" t="s">
        <v>34</v>
      </c>
      <c r="H89" s="1">
        <v>152.02</v>
      </c>
      <c r="I89" s="1">
        <v>126.79</v>
      </c>
      <c r="J89" s="1"/>
    </row>
    <row r="90" hidden="1">
      <c r="A90" s="1" t="s">
        <v>173</v>
      </c>
      <c r="B90" s="1" t="s">
        <v>69</v>
      </c>
      <c r="C90" s="1" t="s">
        <v>31</v>
      </c>
      <c r="D90" s="1" t="s">
        <v>18</v>
      </c>
      <c r="E90" s="2">
        <v>45430.0</v>
      </c>
      <c r="F90" s="1" t="s">
        <v>14</v>
      </c>
      <c r="G90" s="1" t="s">
        <v>42</v>
      </c>
      <c r="H90" s="1">
        <v>175.75</v>
      </c>
      <c r="I90" s="1">
        <v>175.46</v>
      </c>
      <c r="J90" s="1"/>
    </row>
    <row r="91" hidden="1">
      <c r="A91" s="1" t="s">
        <v>174</v>
      </c>
      <c r="B91" s="1" t="s">
        <v>82</v>
      </c>
      <c r="C91" s="1" t="s">
        <v>12</v>
      </c>
      <c r="D91" s="1" t="s">
        <v>18</v>
      </c>
      <c r="E91" s="2">
        <v>45304.0</v>
      </c>
      <c r="F91" s="1" t="s">
        <v>14</v>
      </c>
      <c r="G91" s="1" t="s">
        <v>42</v>
      </c>
      <c r="H91" s="1">
        <v>238.16</v>
      </c>
      <c r="I91" s="1">
        <v>163.65</v>
      </c>
      <c r="J91" s="1"/>
    </row>
    <row r="92" hidden="1">
      <c r="A92" s="1" t="s">
        <v>175</v>
      </c>
      <c r="B92" s="1" t="s">
        <v>121</v>
      </c>
      <c r="C92" s="1" t="s">
        <v>31</v>
      </c>
      <c r="D92" s="1" t="s">
        <v>13</v>
      </c>
      <c r="E92" s="2">
        <v>45400.0</v>
      </c>
      <c r="F92" s="1" t="s">
        <v>14</v>
      </c>
      <c r="G92" s="1" t="s">
        <v>24</v>
      </c>
      <c r="H92" s="1">
        <v>322.38</v>
      </c>
      <c r="I92" s="1">
        <v>245.92</v>
      </c>
      <c r="J92" s="1"/>
    </row>
    <row r="93" hidden="1">
      <c r="A93" s="1" t="s">
        <v>176</v>
      </c>
      <c r="B93" s="1" t="s">
        <v>163</v>
      </c>
      <c r="C93" s="1" t="s">
        <v>47</v>
      </c>
      <c r="D93" s="1" t="s">
        <v>27</v>
      </c>
      <c r="E93" s="2">
        <v>45502.0</v>
      </c>
      <c r="F93" s="1" t="s">
        <v>28</v>
      </c>
      <c r="G93" s="1" t="s">
        <v>20</v>
      </c>
      <c r="H93" s="1">
        <v>190.13</v>
      </c>
      <c r="I93" s="1">
        <v>184.22</v>
      </c>
      <c r="J93" s="1"/>
    </row>
    <row r="94" hidden="1">
      <c r="A94" s="1" t="s">
        <v>177</v>
      </c>
      <c r="B94" s="1" t="s">
        <v>65</v>
      </c>
      <c r="C94" s="1" t="s">
        <v>12</v>
      </c>
      <c r="D94" s="1" t="s">
        <v>13</v>
      </c>
      <c r="E94" s="2">
        <v>45468.0</v>
      </c>
      <c r="F94" s="1" t="s">
        <v>28</v>
      </c>
      <c r="G94" s="1" t="s">
        <v>20</v>
      </c>
      <c r="H94" s="1">
        <v>235.21</v>
      </c>
      <c r="I94" s="1">
        <v>171.18</v>
      </c>
      <c r="J94" s="1"/>
    </row>
    <row r="95" hidden="1">
      <c r="A95" s="1" t="s">
        <v>178</v>
      </c>
      <c r="B95" s="1" t="s">
        <v>78</v>
      </c>
      <c r="C95" s="1" t="s">
        <v>47</v>
      </c>
      <c r="D95" s="1" t="s">
        <v>23</v>
      </c>
      <c r="E95" s="2">
        <v>45385.0</v>
      </c>
      <c r="F95" s="1" t="s">
        <v>28</v>
      </c>
      <c r="G95" s="1" t="s">
        <v>34</v>
      </c>
      <c r="H95" s="1">
        <v>329.83</v>
      </c>
      <c r="I95" s="1">
        <v>234.34</v>
      </c>
      <c r="J95" s="1"/>
    </row>
    <row r="96" hidden="1">
      <c r="A96" s="1" t="s">
        <v>179</v>
      </c>
      <c r="B96" s="1" t="s">
        <v>63</v>
      </c>
      <c r="C96" s="1" t="s">
        <v>31</v>
      </c>
      <c r="D96" s="1" t="s">
        <v>27</v>
      </c>
      <c r="E96" s="2">
        <v>45605.0</v>
      </c>
      <c r="F96" s="1" t="s">
        <v>19</v>
      </c>
      <c r="G96" s="1" t="s">
        <v>24</v>
      </c>
      <c r="H96" s="1">
        <v>370.78</v>
      </c>
      <c r="I96" s="1">
        <v>247.97</v>
      </c>
      <c r="J96" s="1"/>
    </row>
    <row r="97" hidden="1">
      <c r="A97" s="1" t="s">
        <v>180</v>
      </c>
      <c r="B97" s="1" t="s">
        <v>181</v>
      </c>
      <c r="C97" s="1" t="s">
        <v>47</v>
      </c>
      <c r="D97" s="1" t="s">
        <v>23</v>
      </c>
      <c r="E97" s="2">
        <v>45531.0</v>
      </c>
      <c r="F97" s="1" t="s">
        <v>19</v>
      </c>
      <c r="G97" s="1" t="s">
        <v>20</v>
      </c>
      <c r="H97" s="1">
        <v>205.11</v>
      </c>
      <c r="I97" s="1">
        <v>151.72</v>
      </c>
      <c r="J97" s="1"/>
    </row>
    <row r="98" hidden="1">
      <c r="A98" s="1" t="s">
        <v>182</v>
      </c>
      <c r="B98" s="1" t="s">
        <v>137</v>
      </c>
      <c r="C98" s="1" t="s">
        <v>50</v>
      </c>
      <c r="D98" s="1" t="s">
        <v>32</v>
      </c>
      <c r="E98" s="2">
        <v>45630.0</v>
      </c>
      <c r="F98" s="1" t="s">
        <v>28</v>
      </c>
      <c r="G98" s="1" t="s">
        <v>34</v>
      </c>
      <c r="H98" s="1">
        <v>216.25</v>
      </c>
      <c r="I98" s="1">
        <v>192.55</v>
      </c>
      <c r="J98" s="1"/>
    </row>
    <row r="99" hidden="1">
      <c r="A99" s="1" t="s">
        <v>183</v>
      </c>
      <c r="B99" s="1" t="s">
        <v>113</v>
      </c>
      <c r="C99" s="1" t="s">
        <v>31</v>
      </c>
      <c r="D99" s="1" t="s">
        <v>27</v>
      </c>
      <c r="E99" s="2">
        <v>45484.0</v>
      </c>
      <c r="F99" s="1" t="s">
        <v>14</v>
      </c>
      <c r="G99" s="1" t="s">
        <v>34</v>
      </c>
      <c r="H99" s="1">
        <v>179.6</v>
      </c>
      <c r="I99" s="1">
        <v>172.21</v>
      </c>
      <c r="J99" s="1"/>
    </row>
    <row r="100" hidden="1">
      <c r="A100" s="1" t="s">
        <v>184</v>
      </c>
      <c r="B100" s="1" t="s">
        <v>123</v>
      </c>
      <c r="C100" s="1" t="s">
        <v>47</v>
      </c>
      <c r="D100" s="1" t="s">
        <v>23</v>
      </c>
      <c r="E100" s="2">
        <v>45336.0</v>
      </c>
      <c r="F100" s="1" t="s">
        <v>19</v>
      </c>
      <c r="G100" s="1" t="s">
        <v>24</v>
      </c>
      <c r="H100" s="1">
        <v>24.79</v>
      </c>
      <c r="I100" s="1">
        <v>23.67</v>
      </c>
      <c r="J100" s="1"/>
    </row>
    <row r="101" hidden="1">
      <c r="A101" s="1" t="s">
        <v>185</v>
      </c>
      <c r="B101" s="1" t="s">
        <v>186</v>
      </c>
      <c r="C101" s="1" t="s">
        <v>31</v>
      </c>
      <c r="D101" s="1" t="s">
        <v>13</v>
      </c>
      <c r="E101" s="2">
        <v>45542.0</v>
      </c>
      <c r="F101" s="1" t="s">
        <v>28</v>
      </c>
      <c r="G101" s="1" t="s">
        <v>24</v>
      </c>
      <c r="H101" s="1">
        <v>56.54</v>
      </c>
      <c r="I101" s="1">
        <v>51.56</v>
      </c>
      <c r="J101" s="1"/>
    </row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I$1:$I$1000">
    <filterColumn colId="0">
      <customFilters>
        <customFilter operator="greaterThan" val="250"/>
      </customFilters>
    </filterColumn>
    <sortState ref="I1:I1000">
      <sortCondition descending="1" ref="I1:I1000"/>
    </sortState>
  </autoFilter>
  <drawing r:id="rId1"/>
</worksheet>
</file>